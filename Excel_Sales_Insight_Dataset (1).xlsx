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908" documentId="11_F4B30E8C936B1ACFEB3B98154B5DCE3A074416FE" xr6:coauthVersionLast="47" xr6:coauthVersionMax="47" xr10:uidLastSave="{3B044299-C006-4DB8-A882-C00516E56EBD}"/>
  <bookViews>
    <workbookView xWindow="0" yWindow="0" windowWidth="0" windowHeight="0" firstSheet="2" xr2:uid="{00000000-000D-0000-FFFF-FFFF00000000}"/>
  </bookViews>
  <sheets>
    <sheet name="Sales_Data" sheetId="1" r:id="rId1"/>
    <sheet name="Pivot" sheetId="2" r:id="rId2"/>
    <sheet name="Dashboard" sheetId="3" r:id="rId3"/>
  </sheets>
  <definedNames>
    <definedName name="_xlnm._FilterDatabase" localSheetId="0" hidden="1">Sales_Data!#REF!</definedName>
    <definedName name="Slicer_Product_Name">#N/A</definedName>
    <definedName name="Slicer_Region">#N/A</definedName>
  </definedNames>
  <calcPr calcId="191028"/>
  <pivotCaches>
    <pivotCache cacheId="244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N5" i="1"/>
  <c r="N6" i="1"/>
  <c r="N2" i="1"/>
  <c r="N3" i="1"/>
  <c r="N4" i="1"/>
</calcChain>
</file>

<file path=xl/sharedStrings.xml><?xml version="1.0" encoding="utf-8"?>
<sst xmlns="http://schemas.openxmlformats.org/spreadsheetml/2006/main" count="102" uniqueCount="55">
  <si>
    <t>Order_ID</t>
  </si>
  <si>
    <t>Order_Date</t>
  </si>
  <si>
    <t>Region</t>
  </si>
  <si>
    <t>State</t>
  </si>
  <si>
    <t>City</t>
  </si>
  <si>
    <t>Customer_Segment</t>
  </si>
  <si>
    <t>Product_Category</t>
  </si>
  <si>
    <t>Product_Name</t>
  </si>
  <si>
    <t>Sales</t>
  </si>
  <si>
    <t>Quantity</t>
  </si>
  <si>
    <t>Discount</t>
  </si>
  <si>
    <t>Profit</t>
  </si>
  <si>
    <t>Sales_Channel</t>
  </si>
  <si>
    <t>Loss flag</t>
  </si>
  <si>
    <t>sales after discount</t>
  </si>
  <si>
    <t>2024-01-05</t>
  </si>
  <si>
    <t>North</t>
  </si>
  <si>
    <t>Delhi</t>
  </si>
  <si>
    <t>Consumer</t>
  </si>
  <si>
    <t>Technology</t>
  </si>
  <si>
    <t>Laptop</t>
  </si>
  <si>
    <t>Online</t>
  </si>
  <si>
    <t>2024-01-07</t>
  </si>
  <si>
    <t>West</t>
  </si>
  <si>
    <t>Maharashtra</t>
  </si>
  <si>
    <t>Mumbai</t>
  </si>
  <si>
    <t>Corporate</t>
  </si>
  <si>
    <t>Furniture</t>
  </si>
  <si>
    <t>Office Chair</t>
  </si>
  <si>
    <t>Offline</t>
  </si>
  <si>
    <t>2024-01-10</t>
  </si>
  <si>
    <t>South</t>
  </si>
  <si>
    <t>Karnataka</t>
  </si>
  <si>
    <t>Bangalore</t>
  </si>
  <si>
    <t>Mouse</t>
  </si>
  <si>
    <t>2024-01-15</t>
  </si>
  <si>
    <t>East</t>
  </si>
  <si>
    <t>West Bengal</t>
  </si>
  <si>
    <t>Kolkata</t>
  </si>
  <si>
    <t>Home Office</t>
  </si>
  <si>
    <t>Office Supplies</t>
  </si>
  <si>
    <t>Notebook</t>
  </si>
  <si>
    <t>2024-01-18</t>
  </si>
  <si>
    <t>Uttar Pradesh</t>
  </si>
  <si>
    <t>Agra</t>
  </si>
  <si>
    <t>Table</t>
  </si>
  <si>
    <t>Fromat changed</t>
  </si>
  <si>
    <t>Total Sales</t>
  </si>
  <si>
    <t>Total Profit</t>
  </si>
  <si>
    <t xml:space="preserve">total sales </t>
  </si>
  <si>
    <t>total profit</t>
  </si>
  <si>
    <t xml:space="preserve"> color Palatte </t>
  </si>
  <si>
    <t>Grand Total</t>
  </si>
  <si>
    <t>Total quantity Sold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</si>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</sst>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;@"/>
    <numFmt numFmtId="166" formatCode="[$₹-439]#,##0"/>
  </numFmts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9F8F6"/>
        <bgColor indexed="64"/>
      </patternFill>
    </fill>
    <fill>
      <patternFill patternType="solid">
        <fgColor rgb="FFD9CFC7"/>
        <bgColor indexed="64"/>
      </patternFill>
    </fill>
    <fill>
      <patternFill patternType="solid">
        <fgColor rgb="FFEFE9E3"/>
        <bgColor indexed="64"/>
      </patternFill>
    </fill>
    <fill>
      <patternFill patternType="solid">
        <fgColor rgb="FFC9B59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pivotButton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1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2" fillId="7" borderId="0" xfId="0" applyFont="1" applyFill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" fontId="2" fillId="7" borderId="2" xfId="0" applyNumberFormat="1" applyFont="1" applyFill="1" applyBorder="1" applyAlignment="1">
      <alignment horizontal="center"/>
    </xf>
    <xf numFmtId="0" fontId="2" fillId="7" borderId="2" xfId="0" applyNumberFormat="1" applyFont="1" applyFill="1" applyBorder="1" applyAlignment="1">
      <alignment horizontal="center"/>
    </xf>
    <xf numFmtId="0" fontId="0" fillId="8" borderId="3" xfId="0" applyNumberFormat="1" applyFont="1" applyFill="1" applyBorder="1" applyAlignment="1">
      <alignment horizontal="center"/>
    </xf>
    <xf numFmtId="165" fontId="0" fillId="8" borderId="4" xfId="0" applyNumberFormat="1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1" fontId="0" fillId="8" borderId="4" xfId="0" applyNumberFormat="1" applyFont="1" applyFill="1" applyBorder="1" applyAlignment="1">
      <alignment horizontal="center"/>
    </xf>
    <xf numFmtId="10" fontId="0" fillId="8" borderId="4" xfId="0" applyNumberFormat="1" applyFont="1" applyFill="1" applyBorder="1" applyAlignment="1">
      <alignment horizontal="center"/>
    </xf>
    <xf numFmtId="0" fontId="0" fillId="6" borderId="5" xfId="0" applyNumberFormat="1" applyFont="1" applyFill="1" applyBorder="1" applyAlignment="1">
      <alignment horizontal="center"/>
    </xf>
    <xf numFmtId="165" fontId="0" fillId="6" borderId="6" xfId="0" applyNumberFormat="1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1" fontId="0" fillId="6" borderId="6" xfId="0" applyNumberFormat="1" applyFont="1" applyFill="1" applyBorder="1" applyAlignment="1">
      <alignment horizontal="center"/>
    </xf>
    <xf numFmtId="10" fontId="0" fillId="6" borderId="6" xfId="0" applyNumberFormat="1" applyFont="1" applyFill="1" applyBorder="1" applyAlignment="1">
      <alignment horizontal="center"/>
    </xf>
    <xf numFmtId="0" fontId="0" fillId="8" borderId="5" xfId="0" applyNumberFormat="1" applyFont="1" applyFill="1" applyBorder="1" applyAlignment="1">
      <alignment horizontal="center"/>
    </xf>
    <xf numFmtId="165" fontId="0" fillId="8" borderId="6" xfId="0" applyNumberFormat="1" applyFont="1" applyFill="1" applyBorder="1" applyAlignment="1">
      <alignment horizontal="center"/>
    </xf>
    <xf numFmtId="0" fontId="0" fillId="8" borderId="6" xfId="0" applyFont="1" applyFill="1" applyBorder="1" applyAlignment="1">
      <alignment horizontal="center"/>
    </xf>
    <xf numFmtId="1" fontId="0" fillId="8" borderId="6" xfId="0" applyNumberFormat="1" applyFont="1" applyFill="1" applyBorder="1" applyAlignment="1">
      <alignment horizontal="center"/>
    </xf>
    <xf numFmtId="10" fontId="0" fillId="8" borderId="6" xfId="0" applyNumberFormat="1" applyFont="1" applyFill="1" applyBorder="1" applyAlignment="1">
      <alignment horizontal="center"/>
    </xf>
    <xf numFmtId="9" fontId="0" fillId="8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[$₹-43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[$₹-43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[$₹-439]#,##0"/>
    </dxf>
    <dxf>
      <numFmt numFmtId="166" formatCode="[$₹-43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C9B59C"/>
      <color rgb="FFEFE9E3"/>
      <color rgb="FFD9CFC7"/>
      <color rgb="FFF9F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[Excel_Sales_Insight_Dataset.xlsx]Pivot!PivotTable1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wise Sales and Profits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9B59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CFC7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CFC7"/>
          </a:solidFill>
          <a:ln w="254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9B59C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0</c:formatCode>
                <c:ptCount val="4"/>
                <c:pt idx="0">
                  <c:v>800</c:v>
                </c:pt>
                <c:pt idx="1">
                  <c:v>73000</c:v>
                </c:pt>
                <c:pt idx="2">
                  <c:v>1500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5F-4965-A142-6E34517ADAB1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D9CFC7"/>
            </a:solidFill>
            <a:ln w="25400"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Pivot!$C$4:$C$8</c:f>
              <c:numCache>
                <c:formatCode>0</c:formatCode>
                <c:ptCount val="4"/>
                <c:pt idx="0">
                  <c:v>100</c:v>
                </c:pt>
                <c:pt idx="1">
                  <c:v>7500</c:v>
                </c:pt>
                <c:pt idx="2">
                  <c:v>600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5F-4965-A142-6E34517A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147656"/>
        <c:axId val="1429150728"/>
      </c:barChart>
      <c:catAx>
        <c:axId val="142914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50728"/>
        <c:crosses val="autoZero"/>
        <c:auto val="1"/>
        <c:lblAlgn val="ctr"/>
        <c:lblOffset val="100"/>
        <c:noMultiLvlLbl val="0"/>
      </c:catAx>
      <c:valAx>
        <c:axId val="142915072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4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385294105012651"/>
          <c:y val="0.22503657262277957"/>
          <c:w val="0.12395393292696023"/>
          <c:h val="0.13235386753126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FE9E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[Excel_Sales_Insight_Dataset.xlsx]Pivot!PivotTable4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Chennel wise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9F8F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CFC7"/>
          </a:solidFill>
          <a:ln w="25400">
            <a:noFill/>
          </a:ln>
          <a:effectLst/>
        </c:spPr>
      </c:pivotFmt>
      <c:pivotFmt>
        <c:idx val="3"/>
        <c:spPr>
          <a:solidFill>
            <a:srgbClr val="C9B59C"/>
          </a:solidFill>
          <a:ln w="2540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Pivot!$F$3</c:f>
              <c:strCache>
                <c:ptCount val="1"/>
                <c:pt idx="0">
                  <c:v>total sales 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D9CFC7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84-4B53-AF59-469D54B322FC}"/>
              </c:ext>
            </c:extLst>
          </c:dPt>
          <c:dPt>
            <c:idx val="1"/>
            <c:bubble3D val="0"/>
            <c:spPr>
              <a:solidFill>
                <a:srgbClr val="C9B59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F84-4B53-AF59-469D54B322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9F8F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Pivot!$E$4:$E$6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Pivot!$F$4:$F$6</c:f>
              <c:numCache>
                <c:formatCode>0</c:formatCode>
                <c:ptCount val="2"/>
                <c:pt idx="0">
                  <c:v>12800</c:v>
                </c:pt>
                <c:pt idx="1">
                  <c:v>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84-4B53-AF59-469D54B322FC}"/>
            </c:ext>
          </c:extLst>
        </c:ser>
        <c:ser>
          <c:idx val="1"/>
          <c:order val="1"/>
          <c:tx>
            <c:strRef>
              <c:f>Pivot!$G$3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D8-41BC-97FB-B92CBB06F5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D8-41BC-97FB-B92CBB06F55F}"/>
              </c:ext>
            </c:extLst>
          </c:dPt>
          <c:cat>
            <c:strRef>
              <c:f>Pivot!$E$4:$E$6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Pivot!$G$4:$G$6</c:f>
              <c:numCache>
                <c:formatCode>0</c:formatCode>
                <c:ptCount val="2"/>
                <c:pt idx="0">
                  <c:v>2600</c:v>
                </c:pt>
                <c:pt idx="1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84-4B53-AF59-469D54B3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FE9E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[Excel_Sales_Insight_Dataset.xlsx]Pivot!PivotTable3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</c:rich>
      </c:tx>
      <c:layout>
        <c:manualLayout>
          <c:xMode val="edge"/>
          <c:yMode val="edge"/>
          <c:x val="0.25452368453943258"/>
          <c:y val="4.5592705167173252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9B59C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9F8F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FE9E3"/>
          </a:solidFill>
          <a:ln w="25400">
            <a:noFill/>
          </a:ln>
          <a:effectLst/>
        </c:spPr>
        <c:dLbl>
          <c:idx val="0"/>
          <c:layout>
            <c:manualLayout>
              <c:x val="-1.6851913555349013E-2"/>
              <c:y val="2.8719814278534335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9F8F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9CFC7"/>
          </a:solidFill>
          <a:ln w="25400">
            <a:noFill/>
          </a:ln>
          <a:effectLst/>
        </c:spPr>
      </c:pivotFmt>
      <c:pivotFmt>
        <c:idx val="3"/>
        <c:spPr>
          <a:solidFill>
            <a:srgbClr val="C9B59C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9B59C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C9B59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C8-444F-BA6D-5EB8DA8FD105}"/>
              </c:ext>
            </c:extLst>
          </c:dPt>
          <c:dPt>
            <c:idx val="1"/>
            <c:bubble3D val="0"/>
            <c:spPr>
              <a:solidFill>
                <a:srgbClr val="EFE9E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C8-444F-BA6D-5EB8DA8FD105}"/>
              </c:ext>
            </c:extLst>
          </c:dPt>
          <c:dPt>
            <c:idx val="2"/>
            <c:bubble3D val="0"/>
            <c:spPr>
              <a:solidFill>
                <a:srgbClr val="D9CFC7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C8-444F-BA6D-5EB8DA8FD105}"/>
              </c:ext>
            </c:extLst>
          </c:dPt>
          <c:dLbls>
            <c:dLbl>
              <c:idx val="1"/>
              <c:layout>
                <c:manualLayout>
                  <c:x val="-1.6851913555349013E-2"/>
                  <c:y val="2.8719814278534335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C8-444F-BA6D-5EB8DA8FD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9F8F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Pivot!$A$22:$A$25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Pivot!$B$22:$B$25</c:f>
              <c:numCache>
                <c:formatCode>0</c:formatCode>
                <c:ptCount val="3"/>
                <c:pt idx="0">
                  <c:v>2000</c:v>
                </c:pt>
                <c:pt idx="1">
                  <c:v>100</c:v>
                </c:pt>
                <c:pt idx="2">
                  <c:v>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8-444F-BA6D-5EB8DA8FD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63404446122107"/>
          <c:y val="0.36896272359018706"/>
          <c:w val="0.20839450747943813"/>
          <c:h val="0.20516860924299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FE9E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[Excel_Sales_Insight_Dataset.xlsx]Pivot!PivotTable5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 &amp; profit analysis</a:t>
            </a:r>
          </a:p>
        </c:rich>
      </c:tx>
      <c:overlay val="0"/>
      <c:spPr>
        <a:solidFill>
          <a:srgbClr val="EFE9E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9B59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9B59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9F8F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9F8F6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9B59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9F8F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9F8F6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Pivot!$F$8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rgbClr val="C9B59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9B59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Pivot!$E$9:$E$14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Notebook</c:v>
                </c:pt>
                <c:pt idx="3">
                  <c:v>Office Chair</c:v>
                </c:pt>
                <c:pt idx="4">
                  <c:v>Table</c:v>
                </c:pt>
              </c:strCache>
            </c:strRef>
          </c:cat>
          <c:val>
            <c:numRef>
              <c:f>Pivot!$F$9:$F$14</c:f>
              <c:numCache>
                <c:formatCode>0</c:formatCode>
                <c:ptCount val="5"/>
                <c:pt idx="0">
                  <c:v>55000</c:v>
                </c:pt>
                <c:pt idx="1">
                  <c:v>1500</c:v>
                </c:pt>
                <c:pt idx="2">
                  <c:v>800</c:v>
                </c:pt>
                <c:pt idx="3">
                  <c:v>12000</c:v>
                </c:pt>
                <c:pt idx="4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3-4C22-BF97-21D2A9D90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7456648"/>
        <c:axId val="1497477128"/>
      </c:barChart>
      <c:lineChart>
        <c:grouping val="standard"/>
        <c:varyColors val="0"/>
        <c:ser>
          <c:idx val="1"/>
          <c:order val="1"/>
          <c:tx>
            <c:strRef>
              <c:f>Pivot!$G$8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rgbClr val="F9F8F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9F8F6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9B59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Pivot!$E$9:$E$14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Notebook</c:v>
                </c:pt>
                <c:pt idx="3">
                  <c:v>Office Chair</c:v>
                </c:pt>
                <c:pt idx="4">
                  <c:v>Table</c:v>
                </c:pt>
              </c:strCache>
            </c:strRef>
          </c:cat>
          <c:val>
            <c:numRef>
              <c:f>Pivot!$G$9:$G$14</c:f>
              <c:numCache>
                <c:formatCode>0</c:formatCode>
                <c:ptCount val="5"/>
                <c:pt idx="0">
                  <c:v>8000</c:v>
                </c:pt>
                <c:pt idx="1">
                  <c:v>600</c:v>
                </c:pt>
                <c:pt idx="2">
                  <c:v>100</c:v>
                </c:pt>
                <c:pt idx="3">
                  <c:v>2500</c:v>
                </c:pt>
                <c:pt idx="4">
                  <c:v>-500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B3-4C22-BF97-21D2A9D90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456648"/>
        <c:axId val="1497477128"/>
      </c:lineChart>
      <c:catAx>
        <c:axId val="1497456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77128"/>
        <c:crosses val="autoZero"/>
        <c:auto val="1"/>
        <c:lblAlgn val="ctr"/>
        <c:lblOffset val="100"/>
        <c:noMultiLvlLbl val="0"/>
      </c:catAx>
      <c:valAx>
        <c:axId val="149747712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9B59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5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740377876029295"/>
          <c:y val="0.17982945675205281"/>
          <c:w val="0.3618510391119143"/>
          <c:h val="7.0293152131493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C9B59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FE9E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142875</xdr:rowOff>
    </xdr:from>
    <xdr:to>
      <xdr:col>17</xdr:col>
      <xdr:colOff>114300</xdr:colOff>
      <xdr:row>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E81C3D-741A-B0A8-7E2C-4654847E699F}"/>
            </a:ext>
          </a:extLst>
        </xdr:cNvPr>
        <xdr:cNvSpPr txBox="1"/>
      </xdr:nvSpPr>
      <xdr:spPr>
        <a:xfrm>
          <a:off x="0" y="142875"/>
          <a:ext cx="10525125" cy="581025"/>
        </a:xfrm>
        <a:prstGeom prst="round2DiagRect">
          <a:avLst/>
        </a:prstGeom>
        <a:solidFill>
          <a:srgbClr val="EFE9E3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rgbClr val="C9B59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Performance Dashboard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180975</xdr:colOff>
      <xdr:row>4</xdr:row>
      <xdr:rowOff>38100</xdr:rowOff>
    </xdr:from>
    <xdr:to>
      <xdr:col>4</xdr:col>
      <xdr:colOff>257175</xdr:colOff>
      <xdr:row>9</xdr:row>
      <xdr:rowOff>180975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04E233D-54D3-78FC-47A0-E451D86B9296}"/>
            </a:ext>
            <a:ext uri="{147F2762-F138-4A5C-976F-8EAC2B608ADB}">
              <a16:predDERef xmlns:a16="http://schemas.microsoft.com/office/drawing/2014/main" pred="{9CE81C3D-741A-B0A8-7E2C-4654847E699F}"/>
            </a:ext>
          </a:extLst>
        </xdr:cNvPr>
        <xdr:cNvSpPr/>
      </xdr:nvSpPr>
      <xdr:spPr>
        <a:xfrm>
          <a:off x="180975" y="800100"/>
          <a:ext cx="2562225" cy="1200150"/>
        </a:xfrm>
        <a:prstGeom prst="roundRect">
          <a:avLst/>
        </a:prstGeom>
        <a:solidFill>
          <a:srgbClr val="EFE9E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2000" b="0" i="0" u="none" strike="noStrike">
            <a:solidFill>
              <a:srgbClr val="C9B59C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endParaRPr lang="en-US" sz="2000" b="0" i="0" u="none" strike="noStrike">
            <a:solidFill>
              <a:srgbClr val="C9B59C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2000" b="0" i="0" u="none" strike="noStrike">
              <a:solidFill>
                <a:srgbClr val="C9B59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</a:p>
      </xdr:txBody>
    </xdr:sp>
    <xdr:clientData/>
  </xdr:twoCellAnchor>
  <xdr:twoCellAnchor>
    <xdr:from>
      <xdr:col>1</xdr:col>
      <xdr:colOff>180975</xdr:colOff>
      <xdr:row>5</xdr:row>
      <xdr:rowOff>104775</xdr:rowOff>
    </xdr:from>
    <xdr:to>
      <xdr:col>3</xdr:col>
      <xdr:colOff>200025</xdr:colOff>
      <xdr:row>7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DDBEFE-BC09-1F0D-6C9E-39215E2A3650}"/>
            </a:ext>
            <a:ext uri="{147F2762-F138-4A5C-976F-8EAC2B608ADB}">
              <a16:predDERef xmlns:a16="http://schemas.microsoft.com/office/drawing/2014/main" pred="{904E233D-54D3-78FC-47A0-E451D86B9296}"/>
            </a:ext>
          </a:extLst>
        </xdr:cNvPr>
        <xdr:cNvSpPr txBox="1"/>
      </xdr:nvSpPr>
      <xdr:spPr>
        <a:xfrm>
          <a:off x="790575" y="1057275"/>
          <a:ext cx="1285875" cy="438150"/>
        </a:xfrm>
        <a:prstGeom prst="rect">
          <a:avLst/>
        </a:prstGeom>
        <a:solidFill>
          <a:srgbClr val="EFE9E3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600" b="1">
              <a:solidFill>
                <a:srgbClr val="C9B59C"/>
              </a:solidFill>
              <a:latin typeface="+mn-lt"/>
              <a:ea typeface="+mn-lt"/>
              <a:cs typeface="+mn-lt"/>
            </a:rPr>
            <a:t>₹87,300</a:t>
          </a:r>
        </a:p>
      </xdr:txBody>
    </xdr:sp>
    <xdr:clientData/>
  </xdr:twoCellAnchor>
  <xdr:twoCellAnchor>
    <xdr:from>
      <xdr:col>4</xdr:col>
      <xdr:colOff>333375</xdr:colOff>
      <xdr:row>4</xdr:row>
      <xdr:rowOff>47625</xdr:rowOff>
    </xdr:from>
    <xdr:to>
      <xdr:col>9</xdr:col>
      <xdr:colOff>76200</xdr:colOff>
      <xdr:row>9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EA8BD8E-CC5C-49E0-BD28-DA620CD47E52}"/>
            </a:ext>
            <a:ext uri="{147F2762-F138-4A5C-976F-8EAC2B608ADB}">
              <a16:predDERef xmlns:a16="http://schemas.microsoft.com/office/drawing/2014/main" pred="{BDDDBEFE-BC09-1F0D-6C9E-39215E2A3650}"/>
            </a:ext>
          </a:extLst>
        </xdr:cNvPr>
        <xdr:cNvSpPr/>
      </xdr:nvSpPr>
      <xdr:spPr>
        <a:xfrm>
          <a:off x="2819400" y="809625"/>
          <a:ext cx="2790825" cy="1190625"/>
        </a:xfrm>
        <a:prstGeom prst="roundRect">
          <a:avLst/>
        </a:prstGeom>
        <a:solidFill>
          <a:srgbClr val="EFE9E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2000" b="0" i="0" u="none" strike="noStrike">
            <a:solidFill>
              <a:srgbClr val="C9B59C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endParaRPr lang="en-US" sz="2000" b="0" i="0" u="none" strike="noStrike">
            <a:solidFill>
              <a:srgbClr val="C9B59C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2000" b="0" i="0" u="none" strike="noStrike">
              <a:solidFill>
                <a:srgbClr val="C9B59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</a:t>
          </a:r>
        </a:p>
      </xdr:txBody>
    </xdr:sp>
    <xdr:clientData/>
  </xdr:twoCellAnchor>
  <xdr:twoCellAnchor>
    <xdr:from>
      <xdr:col>9</xdr:col>
      <xdr:colOff>152400</xdr:colOff>
      <xdr:row>4</xdr:row>
      <xdr:rowOff>47625</xdr:rowOff>
    </xdr:from>
    <xdr:to>
      <xdr:col>13</xdr:col>
      <xdr:colOff>371475</xdr:colOff>
      <xdr:row>9</xdr:row>
      <xdr:rowOff>171450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44D97EAB-3012-4340-B7B8-9B9572171757}"/>
            </a:ext>
            <a:ext uri="{147F2762-F138-4A5C-976F-8EAC2B608ADB}">
              <a16:predDERef xmlns:a16="http://schemas.microsoft.com/office/drawing/2014/main" pred="{3EA8BD8E-CC5C-49E0-BD28-DA620CD47E52}"/>
            </a:ext>
          </a:extLst>
        </xdr:cNvPr>
        <xdr:cNvSpPr/>
      </xdr:nvSpPr>
      <xdr:spPr>
        <a:xfrm>
          <a:off x="5686425" y="809625"/>
          <a:ext cx="2657475" cy="1181100"/>
        </a:xfrm>
        <a:prstGeom prst="roundRect">
          <a:avLst/>
        </a:prstGeom>
        <a:solidFill>
          <a:srgbClr val="EFE9E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2000" b="0" i="0" u="none" strike="noStrike">
            <a:solidFill>
              <a:srgbClr val="C9B59C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endParaRPr lang="en-US" sz="2000" b="0" i="0" u="none" strike="noStrike">
            <a:solidFill>
              <a:srgbClr val="C9B59C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2000" b="0" i="0" u="none" strike="noStrike">
              <a:solidFill>
                <a:srgbClr val="C9B59C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Quantity Sold</a:t>
          </a:r>
        </a:p>
      </xdr:txBody>
    </xdr:sp>
    <xdr:clientData/>
  </xdr:twoCellAnchor>
  <xdr:twoCellAnchor>
    <xdr:from>
      <xdr:col>5</xdr:col>
      <xdr:colOff>409575</xdr:colOff>
      <xdr:row>5</xdr:row>
      <xdr:rowOff>66675</xdr:rowOff>
    </xdr:from>
    <xdr:to>
      <xdr:col>8</xdr:col>
      <xdr:colOff>0</xdr:colOff>
      <xdr:row>7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14F471-A67E-2352-8604-E7C4C1314E0F}"/>
            </a:ext>
            <a:ext uri="{147F2762-F138-4A5C-976F-8EAC2B608ADB}">
              <a16:predDERef xmlns:a16="http://schemas.microsoft.com/office/drawing/2014/main" pred="{44D97EAB-3012-4340-B7B8-9B9572171757}"/>
            </a:ext>
          </a:extLst>
        </xdr:cNvPr>
        <xdr:cNvSpPr txBox="1"/>
      </xdr:nvSpPr>
      <xdr:spPr>
        <a:xfrm>
          <a:off x="3505200" y="1019175"/>
          <a:ext cx="1419225" cy="495300"/>
        </a:xfrm>
        <a:prstGeom prst="rect">
          <a:avLst/>
        </a:prstGeom>
        <a:solidFill>
          <a:srgbClr val="EFE9E3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>
              <a:solidFill>
                <a:srgbClr val="C9B59C"/>
              </a:solidFill>
              <a:latin typeface="+mn-lt"/>
              <a:ea typeface="+mn-lt"/>
              <a:cs typeface="+mn-lt"/>
            </a:rPr>
            <a:t>₹10,700</a:t>
          </a:r>
        </a:p>
      </xdr:txBody>
    </xdr:sp>
    <xdr:clientData/>
  </xdr:twoCellAnchor>
  <xdr:twoCellAnchor>
    <xdr:from>
      <xdr:col>10</xdr:col>
      <xdr:colOff>590550</xdr:colOff>
      <xdr:row>5</xdr:row>
      <xdr:rowOff>57150</xdr:rowOff>
    </xdr:from>
    <xdr:to>
      <xdr:col>11</xdr:col>
      <xdr:colOff>552450</xdr:colOff>
      <xdr:row>7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3DA58F-F76A-7FF4-B1D0-F20C9DEA1EF9}"/>
            </a:ext>
            <a:ext uri="{147F2762-F138-4A5C-976F-8EAC2B608ADB}">
              <a16:predDERef xmlns:a16="http://schemas.microsoft.com/office/drawing/2014/main" pred="{2F14F471-A67E-2352-8604-E7C4C1314E0F}"/>
            </a:ext>
          </a:extLst>
        </xdr:cNvPr>
        <xdr:cNvSpPr txBox="1"/>
      </xdr:nvSpPr>
      <xdr:spPr>
        <a:xfrm>
          <a:off x="6734175" y="1009650"/>
          <a:ext cx="571500" cy="457200"/>
        </a:xfrm>
        <a:prstGeom prst="rect">
          <a:avLst/>
        </a:prstGeom>
        <a:solidFill>
          <a:srgbClr val="EFE9E3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>
              <a:solidFill>
                <a:srgbClr val="C9B59C"/>
              </a:solidFill>
              <a:latin typeface="+mn-lt"/>
              <a:ea typeface="+mn-lt"/>
              <a:cs typeface="+mn-lt"/>
            </a:rPr>
            <a:t>22</a:t>
          </a:r>
        </a:p>
      </xdr:txBody>
    </xdr:sp>
    <xdr:clientData/>
  </xdr:twoCellAnchor>
  <xdr:twoCellAnchor>
    <xdr:from>
      <xdr:col>0</xdr:col>
      <xdr:colOff>180975</xdr:colOff>
      <xdr:row>10</xdr:row>
      <xdr:rowOff>161925</xdr:rowOff>
    </xdr:from>
    <xdr:to>
      <xdr:col>9</xdr:col>
      <xdr:colOff>466725</xdr:colOff>
      <xdr:row>27</xdr:row>
      <xdr:rowOff>161925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1186066-482A-5482-79CB-4B7292874841}"/>
            </a:ext>
            <a:ext uri="{147F2762-F138-4A5C-976F-8EAC2B608ADB}">
              <a16:predDERef xmlns:a16="http://schemas.microsoft.com/office/drawing/2014/main" pred="{E03DA58F-F76A-7FF4-B1D0-F20C9DEA1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10</xdr:row>
      <xdr:rowOff>161925</xdr:rowOff>
    </xdr:from>
    <xdr:to>
      <xdr:col>17</xdr:col>
      <xdr:colOff>85725</xdr:colOff>
      <xdr:row>28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31CBF64-EEED-53E4-C6FF-A1E2C28D4DD4}"/>
            </a:ext>
            <a:ext uri="{147F2762-F138-4A5C-976F-8EAC2B608ADB}">
              <a16:predDERef xmlns:a16="http://schemas.microsoft.com/office/drawing/2014/main" pred="{71186066-482A-5482-79CB-4B7292874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28</xdr:row>
      <xdr:rowOff>104775</xdr:rowOff>
    </xdr:from>
    <xdr:to>
      <xdr:col>7</xdr:col>
      <xdr:colOff>285750</xdr:colOff>
      <xdr:row>45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7F8F97-8724-5397-76FC-CF22BC3BF3A2}"/>
            </a:ext>
            <a:ext uri="{147F2762-F138-4A5C-976F-8EAC2B608ADB}">
              <a16:predDERef xmlns:a16="http://schemas.microsoft.com/office/drawing/2014/main" pred="{F31CBF64-EEED-53E4-C6FF-A1E2C28D4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390525</xdr:colOff>
      <xdr:row>28</xdr:row>
      <xdr:rowOff>104775</xdr:rowOff>
    </xdr:from>
    <xdr:to>
      <xdr:col>17</xdr:col>
      <xdr:colOff>104775</xdr:colOff>
      <xdr:row>45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5F408C-0F31-434A-8D19-06BB3280ED86}"/>
            </a:ext>
            <a:ext uri="{147F2762-F138-4A5C-976F-8EAC2B608ADB}">
              <a16:predDERef xmlns:a16="http://schemas.microsoft.com/office/drawing/2014/main" pred="{027F8F97-8724-5397-76FC-CF22BC3BF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457200</xdr:colOff>
      <xdr:row>3</xdr:row>
      <xdr:rowOff>171450</xdr:rowOff>
    </xdr:from>
    <xdr:to>
      <xdr:col>15</xdr:col>
      <xdr:colOff>238125</xdr:colOff>
      <xdr:row>10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egion 1">
              <a:extLst>
                <a:ext uri="{FF2B5EF4-FFF2-40B4-BE49-F238E27FC236}">
                  <a16:creationId xmlns:a16="http://schemas.microsoft.com/office/drawing/2014/main" id="{4A2B6C37-55F6-171A-85EB-3AE821485975}"/>
                </a:ext>
                <a:ext uri="{147F2762-F138-4A5C-976F-8EAC2B608ADB}">
                  <a16:predDERef xmlns:a16="http://schemas.microsoft.com/office/drawing/2014/main" pred="{DD5F408C-0F31-434A-8D19-06BB3280ED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742950"/>
              <a:ext cx="1000125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285750</xdr:colOff>
      <xdr:row>3</xdr:row>
      <xdr:rowOff>171450</xdr:rowOff>
    </xdr:from>
    <xdr:to>
      <xdr:col>17</xdr:col>
      <xdr:colOff>114300</xdr:colOff>
      <xdr:row>10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Product_Name 1">
              <a:extLst>
                <a:ext uri="{FF2B5EF4-FFF2-40B4-BE49-F238E27FC236}">
                  <a16:creationId xmlns:a16="http://schemas.microsoft.com/office/drawing/2014/main" id="{F4788338-6DB7-A3AA-10A6-21C37B2C0145}"/>
                </a:ext>
                <a:ext uri="{147F2762-F138-4A5C-976F-8EAC2B608ADB}">
                  <a16:predDERef xmlns:a16="http://schemas.microsoft.com/office/drawing/2014/main" pred="{4A2B6C37-55F6-171A-85EB-3AE8214859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7375" y="742950"/>
              <a:ext cx="104775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54.902756597221" createdVersion="8" refreshedVersion="8" minRefreshableVersion="3" recordCount="5" xr:uid="{1945DF24-D8B1-450B-9EB7-97995B1B896B}">
  <cacheSource type="worksheet">
    <worksheetSource ref="A1:O6" sheet="Sales_Data"/>
  </cacheSource>
  <cacheFields count="15">
    <cacheField name="Order_ID" numFmtId="0">
      <sharedItems containsSemiMixedTypes="0" containsString="0" containsNumber="1" containsInteger="1" minValue="1001" maxValue="1005"/>
    </cacheField>
    <cacheField name="Order_Date" numFmtId="165">
      <sharedItems/>
    </cacheField>
    <cacheField name="Region" numFmtId="0">
      <sharedItems count="4">
        <s v="North"/>
        <s v="West"/>
        <s v="South"/>
        <s v="East"/>
      </sharedItems>
    </cacheField>
    <cacheField name="State" numFmtId="0">
      <sharedItems count="5">
        <s v="Delhi"/>
        <s v="Maharashtra"/>
        <s v="Karnataka"/>
        <s v="West Bengal"/>
        <s v="Uttar Pradesh"/>
      </sharedItems>
    </cacheField>
    <cacheField name="City" numFmtId="0">
      <sharedItems count="5">
        <s v="Delhi"/>
        <s v="Mumbai"/>
        <s v="Bangalore"/>
        <s v="Kolkata"/>
        <s v="Agra"/>
      </sharedItems>
    </cacheField>
    <cacheField name="Customer_Segment" numFmtId="0">
      <sharedItems/>
    </cacheField>
    <cacheField name="Product_Category" numFmtId="0">
      <sharedItems count="3">
        <s v="Technology"/>
        <s v="Furniture"/>
        <s v="Office Supplies"/>
      </sharedItems>
    </cacheField>
    <cacheField name="Product_Name" numFmtId="0">
      <sharedItems count="5">
        <s v="Laptop"/>
        <s v="Office Chair"/>
        <s v="Mouse"/>
        <s v="Notebook"/>
        <s v="Table"/>
      </sharedItems>
    </cacheField>
    <cacheField name="Sales" numFmtId="1">
      <sharedItems containsSemiMixedTypes="0" containsString="0" containsNumber="1" containsInteger="1" minValue="800" maxValue="55000" count="5">
        <n v="55000"/>
        <n v="12000"/>
        <n v="1500"/>
        <n v="800"/>
        <n v="18000"/>
      </sharedItems>
    </cacheField>
    <cacheField name="Quantity" numFmtId="1">
      <sharedItems containsSemiMixedTypes="0" containsString="0" containsNumber="1" containsInteger="1" minValue="1" maxValue="10" count="5">
        <n v="2"/>
        <n v="4"/>
        <n v="5"/>
        <n v="10"/>
        <n v="1"/>
      </sharedItems>
    </cacheField>
    <cacheField name="Discount" numFmtId="0">
      <sharedItems containsSemiMixedTypes="0" containsString="0" containsNumber="1" minValue="0" maxValue="2E-3"/>
    </cacheField>
    <cacheField name="Profit" numFmtId="1">
      <sharedItems containsSemiMixedTypes="0" containsString="0" containsNumber="1" containsInteger="1" minValue="-500" maxValue="8000" count="5">
        <n v="8000"/>
        <n v="2500"/>
        <n v="600"/>
        <n v="100"/>
        <n v="-500"/>
      </sharedItems>
    </cacheField>
    <cacheField name="Sales_Channel" numFmtId="0">
      <sharedItems count="2">
        <s v="Online"/>
        <s v="Offline"/>
      </sharedItems>
    </cacheField>
    <cacheField name="Loss flag" numFmtId="1">
      <sharedItems/>
    </cacheField>
    <cacheField name="sales after discount" numFmtId="1">
      <sharedItems containsSemiMixedTypes="0" containsString="0" containsNumber="1" minValue="798.4" maxValue="54945"/>
    </cacheField>
  </cacheFields>
  <extLst>
    <ext xmlns:x14="http://schemas.microsoft.com/office/spreadsheetml/2009/9/main" uri="{725AE2AE-9491-48be-B2B4-4EB974FC3084}">
      <x14:pivotCacheDefinition pivotCacheId="14822843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s v="2024-01-05"/>
    <x v="0"/>
    <x v="0"/>
    <x v="0"/>
    <s v="Consumer"/>
    <x v="0"/>
    <x v="0"/>
    <x v="0"/>
    <x v="0"/>
    <n v="1E-3"/>
    <x v="0"/>
    <x v="0"/>
    <s v="Profit"/>
    <n v="54945"/>
  </r>
  <r>
    <n v="1002"/>
    <s v="2024-01-07"/>
    <x v="1"/>
    <x v="1"/>
    <x v="1"/>
    <s v="Corporate"/>
    <x v="1"/>
    <x v="1"/>
    <x v="1"/>
    <x v="1"/>
    <n v="5.0000000000000001E-4"/>
    <x v="1"/>
    <x v="1"/>
    <s v="Profit"/>
    <n v="11994"/>
  </r>
  <r>
    <n v="1003"/>
    <s v="2024-01-10"/>
    <x v="2"/>
    <x v="2"/>
    <x v="2"/>
    <s v="Consumer"/>
    <x v="0"/>
    <x v="2"/>
    <x v="2"/>
    <x v="2"/>
    <n v="0"/>
    <x v="2"/>
    <x v="0"/>
    <s v="Profit"/>
    <n v="1500"/>
  </r>
  <r>
    <n v="1004"/>
    <s v="2024-01-15"/>
    <x v="3"/>
    <x v="3"/>
    <x v="3"/>
    <s v="Home Office"/>
    <x v="2"/>
    <x v="3"/>
    <x v="3"/>
    <x v="3"/>
    <n v="2E-3"/>
    <x v="3"/>
    <x v="1"/>
    <s v="Profit"/>
    <n v="798.4"/>
  </r>
  <r>
    <n v="1005"/>
    <s v="2024-01-18"/>
    <x v="0"/>
    <x v="4"/>
    <x v="4"/>
    <s v="Consumer"/>
    <x v="1"/>
    <x v="4"/>
    <x v="4"/>
    <x v="4"/>
    <n v="1.5E-3"/>
    <x v="4"/>
    <x v="0"/>
    <s v="loss"/>
    <n v="179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9F4A5-C891-4E47-81D0-F0457BB07C76}" name="PivotTable2" cacheId="2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B17" firstHeaderRow="1" firstDataRow="1" firstDataCol="1"/>
  <pivotFields count="15"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axis="axisRow" compact="0" outline="0" showAll="0">
      <items count="6">
        <item x="0"/>
        <item x="2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2"/>
        <item x="3"/>
        <item x="1"/>
        <item x="4"/>
        <item t="default"/>
      </items>
    </pivotField>
    <pivotField compact="0" numFmtId="1" outline="0" showAll="0"/>
    <pivotField dataField="1"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quantity Sold" fld="9" baseField="0" baseItem="0" numFmtId="1"/>
  </dataFields>
  <formats count="6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3" type="button" dataOnly="0" labelOnly="1" outline="0" axis="axisRow" fieldPosition="0"/>
    </format>
    <format dxfId="44">
      <pivotArea dataOnly="0" labelOnly="1" outline="0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13E85-A741-4637-ADFB-97022BBDF70B}" name="PivotTable6" cacheId="244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E18:F24" firstHeaderRow="1" firstDataRow="1" firstDataCol="1"/>
  <pivotFields count="15">
    <pivotField compact="0" outline="0" showAll="0" defaultSubtotal="0"/>
    <pivotField compact="0" outline="0" showAll="0" defaultSubtotal="0"/>
    <pivotField compact="0" outline="0" showAll="0" defaultSubtotal="0">
      <items count="4">
        <item x="3"/>
        <item x="0"/>
        <item x="2"/>
        <item x="1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0"/>
        <item x="3"/>
        <item x="1"/>
      </items>
    </pivotField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2"/>
        <item x="3"/>
        <item x="1"/>
        <item x="4"/>
      </items>
    </pivotField>
    <pivotField compact="0" numFmtId="1" outline="0" showAll="0" defaultSubtotal="0"/>
    <pivotField compact="0" numFmtId="1" outline="0" showAll="0" defaultSubtotal="0"/>
    <pivotField compact="0" outline="0" showAll="0" defaultSubtotal="0"/>
    <pivotField dataField="1" compact="0" numFmtId="1" outline="0" showAll="0" defaultSubtotal="0"/>
    <pivotField compact="0" outline="0" showAll="0" defaultSubtotal="0"/>
    <pivotField compact="0" outline="0" showAll="0"/>
    <pivotField compact="0" numFmtId="1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 numFmtId="1"/>
  </dataFields>
  <formats count="9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4" type="button" dataOnly="0" labelOnly="1" outline="0" axis="axisRow" fieldPosition="0"/>
    </format>
    <format dxfId="35">
      <pivotArea dataOnly="0" labelOnly="1" outline="0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  <format dxfId="38">
      <pivotArea field="4" type="button" dataOnly="0" labelOnly="1" outline="0" axis="axisRow" fieldPosition="0"/>
    </format>
    <format dxfId="39">
      <pivotArea dataOnly="0" labelOnly="1" outline="0" fieldPosition="0">
        <references count="1">
          <reference field="4" count="0"/>
        </references>
      </pivotArea>
    </format>
    <format dxfId="4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D508C-F493-46E9-B51B-48FEB904FD8E}" name="PivotTable5" cacheId="2444" applyNumberFormats="0" applyBorderFormats="0" applyFontFormats="0" applyPatternFormats="0" applyAlignmentFormats="0" applyWidthHeightFormats="1" dataCaption="Values" updatedVersion="8" minRefreshableVersion="3" showDrill="0" useAutoFormatting="1" colGrandTotals="0" itemPrintTitles="1" createdVersion="8" indent="0" compact="0" compactData="0" multipleFieldFilters="0" chartFormat="32">
  <location ref="E8:G14" firstHeaderRow="0" firstDataRow="1" firstDataCol="1"/>
  <pivotFields count="15">
    <pivotField compact="0" outline="0" showAll="0" defaultSubtotal="0"/>
    <pivotField compact="0" outline="0" showAll="0" defaultSubtotal="0"/>
    <pivotField compact="0" outline="0" showAll="0" defaultSubtotal="0">
      <items count="4">
        <item x="3"/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0"/>
        <item x="2"/>
        <item x="3"/>
        <item x="1"/>
        <item x="4"/>
      </items>
    </pivotField>
    <pivotField dataField="1" compact="0" numFmtId="1" outline="0" showAll="0" defaultSubtotal="0">
      <items count="5">
        <item x="3"/>
        <item x="2"/>
        <item x="1"/>
        <item x="4"/>
        <item x="0"/>
      </items>
    </pivotField>
    <pivotField compact="0" numFmtId="1" outline="0" showAll="0" defaultSubtotal="0">
      <items count="5">
        <item x="4"/>
        <item x="0"/>
        <item x="1"/>
        <item x="2"/>
        <item x="3"/>
      </items>
    </pivotField>
    <pivotField compact="0" outline="0" showAll="0" defaultSubtotal="0"/>
    <pivotField dataField="1" compact="0" numFmtId="1" outline="0" showAll="0" defaultSubtotal="0">
      <items count="5">
        <item x="4"/>
        <item x="3"/>
        <item x="2"/>
        <item x="1"/>
        <item x="0"/>
      </items>
    </pivotField>
    <pivotField compact="0" outline="0" showAll="0" defaultSubtotal="0"/>
    <pivotField compact="0" outline="0" showAll="0"/>
    <pivotField compact="0" numFmtId="1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" fld="8" baseField="0" baseItem="0" numFmtId="1"/>
    <dataField name="total profit" fld="11" baseField="0" baseItem="0" numFmtId="1"/>
  </dataFields>
  <formats count="7">
    <format dxfId="25">
      <pivotArea type="all" dataOnly="0" outline="0" fieldPosition="0"/>
    </format>
    <format dxfId="26">
      <pivotArea field="7" type="button" dataOnly="0" labelOnly="1" outline="0" axis="axisRow" fieldPosition="0"/>
    </format>
    <format dxfId="27">
      <pivotArea field="9" type="button" dataOnly="0" labelOnly="1" outline="0"/>
    </format>
    <format dxfId="28">
      <pivotArea field="8" type="button" dataOnly="0" labelOnly="1" outline="0"/>
    </format>
    <format dxfId="29">
      <pivotArea field="11" type="button" dataOnly="0" labelOnly="1" outline="0"/>
    </format>
    <format dxfId="30">
      <pivotArea field="7" grandRow="1" outline="0" axis="axisRow" fieldPosition="0">
        <references count="1">
          <reference field="4294967294" count="1" selected="0">
            <x v="1"/>
          </reference>
        </references>
      </pivotArea>
    </format>
    <format dxfId="31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</formats>
  <chartFormats count="4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FA2FC-A87C-4D5C-BE20-E62B2096A25E}" name="PivotTable4" cacheId="2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3:G6" firstHeaderRow="0" firstDataRow="1" firstDataCol="1"/>
  <pivotFields count="15"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2"/>
        <item x="3"/>
        <item x="1"/>
        <item x="4"/>
        <item t="default"/>
      </items>
    </pivotField>
    <pivotField dataField="1" compact="0" numFmtId="1" outline="0" showAll="0"/>
    <pivotField compact="0" numFmtId="1" outline="0" showAll="0"/>
    <pivotField compact="0" outline="0" showAll="0"/>
    <pivotField dataField="1" compact="0" numFmtId="1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numFmtId="1" outline="0"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" fld="8" baseField="0" baseItem="0" numFmtId="1"/>
    <dataField name="total profit" fld="11" baseField="0" baseItem="0" numFmtId="1"/>
  </dataFields>
  <formats count="7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2" type="button" dataOnly="0" labelOnly="1" outline="0" axis="axisRow" fieldPosition="0"/>
    </format>
    <format dxfId="21">
      <pivotArea dataOnly="0" labelOnly="1" outline="0" fieldPosition="0">
        <references count="1">
          <reference field="12" count="0"/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12" grandRow="1" outline="0" axis="axisRow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E37F8-B3B7-455C-A8F8-97EAD83BA313}" name="PivotTable1" cacheId="2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C8" firstHeaderRow="0" firstDataRow="1" firstDataCol="1"/>
  <pivotFields count="15">
    <pivotField compact="0" outline="0" showAll="0"/>
    <pivotField compact="0" outline="0" showAll="0"/>
    <pivotField axis="axisRow" compact="0" outline="0" showAll="0" sortType="ascending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2"/>
        <item x="3"/>
        <item x="1"/>
        <item x="4"/>
        <item t="default"/>
      </items>
    </pivotField>
    <pivotField dataField="1" compact="0" numFmtId="1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numFmtId="1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8" baseField="0" baseItem="0" numFmtId="1"/>
    <dataField name="Total Profit" fld="11" baseField="0" baseItem="0" numFmtId="1"/>
  </dataFields>
  <formats count="7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2" grandRow="1" outline="0" axis="axisRow" fieldPosition="0">
        <references count="1">
          <reference field="4294967294" count="1" selected="0">
            <x v="0"/>
          </reference>
        </references>
      </pivotArea>
    </format>
  </formats>
  <chartFormats count="1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19497-6A38-489B-976C-66E65E292D35}" name="PivotTable3" cacheId="2444" applyNumberFormats="0" applyBorderFormats="0" applyFontFormats="0" applyPatternFormats="0" applyAlignmentFormats="0" applyWidthHeightFormats="1" dataCaption="Values" updatedVersion="8" minRefreshableVersion="3" showDrill="0" useAutoFormatting="1" colGrandTotals="0" itemPrintTitles="1" createdVersion="8" indent="0" compact="0" compactData="0" multipleFieldFilters="0" chartFormat="1">
  <location ref="A21:B25" firstHeaderRow="1" firstDataRow="1" firstDataCol="1"/>
  <pivotFields count="15">
    <pivotField compact="0" outline="0" showAll="0" defaultSubtotal="0"/>
    <pivotField compact="0" outline="0" showAll="0" defaultSubtotal="0"/>
    <pivotField compact="0" outline="0" showAll="0" defaultSubtotal="0">
      <items count="4">
        <item x="3"/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x="2"/>
        <item x="0"/>
      </items>
    </pivotField>
    <pivotField compact="0" outline="0" showAll="0" defaultSubtotal="0">
      <items count="5">
        <item x="0"/>
        <item x="2"/>
        <item x="3"/>
        <item x="1"/>
        <item x="4"/>
      </items>
    </pivotField>
    <pivotField compact="0" numFmtId="1" outline="0" showAll="0" defaultSubtotal="0"/>
    <pivotField compact="0" numFmtId="1" outline="0" showAll="0" defaultSubtotal="0"/>
    <pivotField compact="0" outline="0" showAll="0" defaultSubtotal="0"/>
    <pivotField dataField="1" compact="0" numFmtId="1" outline="0" showAll="0" defaultSubtotal="0"/>
    <pivotField compact="0" outline="0" showAll="0" defaultSubtotal="0"/>
    <pivotField compact="0" outline="0" showAll="0"/>
    <pivotField compact="0" numFmtId="1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11" baseField="0" baseItem="0" numFmtId="1"/>
  </dataFields>
  <formats count="6">
    <format dxfId="5">
      <pivotArea type="all" dataOnly="0" outline="0" fieldPosition="0"/>
    </format>
    <format dxfId="6">
      <pivotArea outline="0" collapsedLevelsAreSubtotals="1" fieldPosition="0"/>
    </format>
    <format dxfId="7">
      <pivotArea field="6" type="button" dataOnly="0" labelOnly="1" outline="0" axis="axisRow" fieldPosition="0"/>
    </format>
    <format dxfId="8">
      <pivotArea dataOnly="0" labelOnly="1" outline="0" fieldPosition="0">
        <references count="1">
          <reference field="6" count="0"/>
        </references>
      </pivotArea>
    </format>
    <format dxfId="9">
      <pivotArea dataOnly="0" labelOnly="1" grandRow="1" outline="0" fieldPosition="0"/>
    </format>
    <format dxfId="1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2CC6FDD-23E9-4349-BB39-8454EB284CD4}" sourceName="Region">
  <pivotTables>
    <pivotTable tabId="2" name="PivotTable5"/>
    <pivotTable tabId="2" name="PivotTable4"/>
    <pivotTable tabId="2" name="PivotTable1"/>
    <pivotTable tabId="2" name="PivotTable3"/>
    <pivotTable tabId="2" name="PivotTable2"/>
    <pivotTable tabId="2" name="PivotTable6"/>
  </pivotTables>
  <data>
    <tabular pivotCacheId="1482284334">
      <items count="4"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Name" xr10:uid="{EE20BE40-F6F3-4C8C-A6AA-70F5C672E19E}" sourceName="Product_Name">
  <pivotTables>
    <pivotTable tabId="2" name="PivotTable5"/>
    <pivotTable tabId="2" name="PivotTable4"/>
    <pivotTable tabId="2" name="PivotTable1"/>
    <pivotTable tabId="2" name="PivotTable3"/>
    <pivotTable tabId="2" name="PivotTable2"/>
    <pivotTable tabId="2" name="PivotTable6"/>
  </pivotTables>
  <data>
    <tabular pivotCacheId="1482284334">
      <items count="5">
        <i x="0" s="1"/>
        <i x="2" s="1"/>
        <i x="3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84527733-4185-44F4-B331-7387961650F9}" cache="Slicer_Region" caption="Region" rowHeight="228600"/>
  <slicer name="Product_Name 1" xr10:uid="{0CB4E621-1B24-40E1-A16D-219F91EC4205}" cache="Slicer_Product_Name" caption="Product_Nam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E546D-A592-4993-A249-DC74C33083BF}" name="Table3" displayName="Table3" ref="A1:O6" totalsRowShown="0" headerRowDxfId="2">
  <autoFilter ref="A1:O6" xr:uid="{AA6E546D-A592-4993-A249-DC74C33083BF}"/>
  <tableColumns count="15">
    <tableColumn id="1" xr3:uid="{DD5B5FF9-2B63-419E-96B0-3116E03BE35C}" name="Order_ID"/>
    <tableColumn id="2" xr3:uid="{3D9A2B85-2585-4225-96E6-C17B7277C642}" name="Order_Date"/>
    <tableColumn id="3" xr3:uid="{3D447F52-DFB0-4F1F-ABF9-4F999FDD82E1}" name="Region"/>
    <tableColumn id="4" xr3:uid="{DC6D2984-4C1F-4A1B-95C5-98CA6A1A8833}" name="State"/>
    <tableColumn id="5" xr3:uid="{49B5FE7A-48AE-4582-9178-9C16B9A77B65}" name="City"/>
    <tableColumn id="6" xr3:uid="{F3956248-A01C-47FF-9892-0D9C1578BB4A}" name="Customer_Segment"/>
    <tableColumn id="7" xr3:uid="{53B64884-3CAC-4C47-8C64-C28353D28593}" name="Product_Category"/>
    <tableColumn id="8" xr3:uid="{5AED579F-752A-44F0-ABCB-04FDC1BB7804}" name="Product_Name"/>
    <tableColumn id="9" xr3:uid="{E56A46E8-34C0-4312-8005-11B11759E455}" name="Sales"/>
    <tableColumn id="10" xr3:uid="{9F08D56C-6A93-4D2A-87E2-2420D295AFD1}" name="Quantity"/>
    <tableColumn id="11" xr3:uid="{66A66CD6-2110-445A-9B08-31BE6B601409}" name="Discount"/>
    <tableColumn id="12" xr3:uid="{032EC766-6618-434C-953A-45C7A88499A8}" name="Profit"/>
    <tableColumn id="13" xr3:uid="{2B8EDF96-88A5-44F1-813D-042360AEC9F5}" name="Sales_Channel"/>
    <tableColumn id="14" xr3:uid="{715D28D9-8280-49F2-9DDB-5E4C9165C6B9}" name="Loss flag">
      <calculatedColumnFormula>IF($L2&gt;=0,"Profit","loss")</calculatedColumnFormula>
    </tableColumn>
    <tableColumn id="15" xr3:uid="{E4B514E7-2EE3-4E30-8135-354C922BFF08}" name="sales after discount">
      <calculatedColumnFormula>$I2*(1-$K2)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workbookViewId="0">
      <selection activeCell="F15" sqref="F15"/>
    </sheetView>
  </sheetViews>
  <sheetFormatPr defaultRowHeight="15"/>
  <cols>
    <col min="1" max="1" width="11.28515625" bestFit="1" customWidth="1"/>
    <col min="2" max="2" width="13.5703125" style="3" bestFit="1" customWidth="1"/>
    <col min="3" max="3" width="9.28515625" bestFit="1" customWidth="1"/>
    <col min="4" max="4" width="13" bestFit="1" customWidth="1"/>
    <col min="5" max="5" width="9.7109375" bestFit="1" customWidth="1"/>
    <col min="6" max="6" width="20.7109375" bestFit="1" customWidth="1"/>
    <col min="7" max="7" width="19.140625" bestFit="1" customWidth="1"/>
    <col min="8" max="8" width="16.42578125" bestFit="1" customWidth="1"/>
    <col min="9" max="9" width="9" style="5" bestFit="1" customWidth="1"/>
    <col min="10" max="10" width="11" style="5" bestFit="1" customWidth="1"/>
    <col min="11" max="11" width="11" style="6" bestFit="1" customWidth="1"/>
    <col min="12" max="12" width="8.140625" style="5" bestFit="1" customWidth="1"/>
    <col min="13" max="13" width="16" bestFit="1" customWidth="1"/>
    <col min="14" max="14" width="10.7109375" bestFit="1" customWidth="1"/>
    <col min="15" max="15" width="20.42578125" bestFit="1" customWidth="1"/>
    <col min="16" max="16" width="12.5703125" bestFit="1" customWidth="1"/>
    <col min="17" max="17" width="18.28515625" bestFit="1" customWidth="1"/>
    <col min="21" max="21" width="18.28515625" bestFit="1" customWidth="1"/>
  </cols>
  <sheetData>
    <row r="1" spans="1:20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8" t="s">
        <v>9</v>
      </c>
      <c r="K1" s="19" t="s">
        <v>10</v>
      </c>
      <c r="L1" s="18" t="s">
        <v>11</v>
      </c>
      <c r="M1" s="17" t="s">
        <v>12</v>
      </c>
      <c r="N1" s="17" t="s">
        <v>13</v>
      </c>
      <c r="O1" s="17" t="s">
        <v>14</v>
      </c>
    </row>
    <row r="2" spans="1:20">
      <c r="A2" s="20">
        <v>1001</v>
      </c>
      <c r="B2" s="21" t="s">
        <v>15</v>
      </c>
      <c r="C2" s="22" t="s">
        <v>16</v>
      </c>
      <c r="D2" s="22" t="s">
        <v>17</v>
      </c>
      <c r="E2" s="22" t="s">
        <v>17</v>
      </c>
      <c r="F2" s="22" t="s">
        <v>18</v>
      </c>
      <c r="G2" s="22" t="s">
        <v>19</v>
      </c>
      <c r="H2" s="22" t="s">
        <v>20</v>
      </c>
      <c r="I2" s="23">
        <v>55000</v>
      </c>
      <c r="J2" s="23">
        <v>2</v>
      </c>
      <c r="K2" s="24">
        <v>1E-3</v>
      </c>
      <c r="L2" s="23">
        <v>8000</v>
      </c>
      <c r="M2" s="22" t="s">
        <v>21</v>
      </c>
      <c r="N2" s="23" t="str">
        <f>IF($L2&gt;=0,"Profit","loss")</f>
        <v>Profit</v>
      </c>
      <c r="O2" s="23">
        <f>$I2*(1-$K2)</f>
        <v>54945</v>
      </c>
    </row>
    <row r="3" spans="1:20">
      <c r="A3" s="25">
        <v>1002</v>
      </c>
      <c r="B3" s="26" t="s">
        <v>22</v>
      </c>
      <c r="C3" s="27" t="s">
        <v>23</v>
      </c>
      <c r="D3" s="27" t="s">
        <v>24</v>
      </c>
      <c r="E3" s="27" t="s">
        <v>25</v>
      </c>
      <c r="F3" s="27" t="s">
        <v>26</v>
      </c>
      <c r="G3" s="27" t="s">
        <v>27</v>
      </c>
      <c r="H3" s="27" t="s">
        <v>28</v>
      </c>
      <c r="I3" s="28">
        <v>12000</v>
      </c>
      <c r="J3" s="28">
        <v>4</v>
      </c>
      <c r="K3" s="29">
        <v>5.0000000000000001E-4</v>
      </c>
      <c r="L3" s="28">
        <v>2500</v>
      </c>
      <c r="M3" s="27" t="s">
        <v>29</v>
      </c>
      <c r="N3" s="28" t="str">
        <f>IF($L3&gt;=0,"Profit","loss")</f>
        <v>Profit</v>
      </c>
      <c r="O3" s="28">
        <f>$I3*(1-$K3)</f>
        <v>11994</v>
      </c>
    </row>
    <row r="4" spans="1:20">
      <c r="A4" s="30">
        <v>1003</v>
      </c>
      <c r="B4" s="31" t="s">
        <v>30</v>
      </c>
      <c r="C4" s="32" t="s">
        <v>31</v>
      </c>
      <c r="D4" s="32" t="s">
        <v>32</v>
      </c>
      <c r="E4" s="32" t="s">
        <v>33</v>
      </c>
      <c r="F4" s="32" t="s">
        <v>18</v>
      </c>
      <c r="G4" s="32" t="s">
        <v>19</v>
      </c>
      <c r="H4" s="32" t="s">
        <v>34</v>
      </c>
      <c r="I4" s="33">
        <v>1500</v>
      </c>
      <c r="J4" s="33">
        <v>5</v>
      </c>
      <c r="K4" s="34">
        <v>0</v>
      </c>
      <c r="L4" s="33">
        <v>600</v>
      </c>
      <c r="M4" s="32" t="s">
        <v>21</v>
      </c>
      <c r="N4" s="33" t="str">
        <f>IF($L4&gt;=0,"Profit","loss")</f>
        <v>Profit</v>
      </c>
      <c r="O4" s="33">
        <f>$I4*(1-$K4)</f>
        <v>1500</v>
      </c>
    </row>
    <row r="5" spans="1:20">
      <c r="A5" s="25">
        <v>1004</v>
      </c>
      <c r="B5" s="26" t="s">
        <v>35</v>
      </c>
      <c r="C5" s="27" t="s">
        <v>36</v>
      </c>
      <c r="D5" s="27" t="s">
        <v>37</v>
      </c>
      <c r="E5" s="27" t="s">
        <v>38</v>
      </c>
      <c r="F5" s="27" t="s">
        <v>39</v>
      </c>
      <c r="G5" s="27" t="s">
        <v>40</v>
      </c>
      <c r="H5" s="27" t="s">
        <v>41</v>
      </c>
      <c r="I5" s="28">
        <v>800</v>
      </c>
      <c r="J5" s="28">
        <v>10</v>
      </c>
      <c r="K5" s="29">
        <v>2E-3</v>
      </c>
      <c r="L5" s="28">
        <v>100</v>
      </c>
      <c r="M5" s="27" t="s">
        <v>29</v>
      </c>
      <c r="N5" s="28" t="str">
        <f>IF($L5&gt;=0,"Profit","loss")</f>
        <v>Profit</v>
      </c>
      <c r="O5" s="28">
        <f>$I5*(1-$K5)</f>
        <v>798.4</v>
      </c>
    </row>
    <row r="6" spans="1:20">
      <c r="A6" s="30">
        <v>1005</v>
      </c>
      <c r="B6" s="31" t="s">
        <v>42</v>
      </c>
      <c r="C6" s="32" t="s">
        <v>16</v>
      </c>
      <c r="D6" s="32" t="s">
        <v>43</v>
      </c>
      <c r="E6" s="32" t="s">
        <v>44</v>
      </c>
      <c r="F6" s="32" t="s">
        <v>18</v>
      </c>
      <c r="G6" s="32" t="s">
        <v>27</v>
      </c>
      <c r="H6" s="32" t="s">
        <v>45</v>
      </c>
      <c r="I6" s="33">
        <v>18000</v>
      </c>
      <c r="J6" s="33">
        <v>1</v>
      </c>
      <c r="K6" s="35">
        <v>1.5E-3</v>
      </c>
      <c r="L6" s="33">
        <v>-500</v>
      </c>
      <c r="M6" s="32" t="s">
        <v>21</v>
      </c>
      <c r="N6" s="33" t="str">
        <f>IF($L6&gt;=0,"Profit","loss")</f>
        <v>loss</v>
      </c>
      <c r="O6" s="33">
        <f>$I6*(1-$K6)</f>
        <v>17973</v>
      </c>
    </row>
    <row r="7" spans="1:20">
      <c r="N7" s="2"/>
      <c r="O7" s="2"/>
      <c r="S7">
        <v>4</v>
      </c>
      <c r="T7" t="s">
        <v>46</v>
      </c>
    </row>
    <row r="8" spans="1:20">
      <c r="N8" s="2"/>
      <c r="O8" s="2"/>
      <c r="P8" s="2"/>
    </row>
    <row r="9" spans="1:20">
      <c r="N9" s="2"/>
      <c r="O9" s="2"/>
      <c r="P9" s="2"/>
    </row>
    <row r="10" spans="1:20">
      <c r="N10" s="2"/>
      <c r="O10" s="2"/>
      <c r="P10" s="2"/>
    </row>
    <row r="11" spans="1:20">
      <c r="N11" s="2"/>
      <c r="O11" s="2"/>
      <c r="P11" s="2"/>
    </row>
    <row r="12" spans="1:20">
      <c r="N12" s="2"/>
      <c r="O12" s="2"/>
      <c r="P12" s="2"/>
    </row>
    <row r="13" spans="1:20">
      <c r="N13" s="2"/>
      <c r="O13" s="2"/>
      <c r="P13" s="2"/>
    </row>
    <row r="14" spans="1:20">
      <c r="N14" s="2"/>
      <c r="O14" s="2"/>
      <c r="P14" s="2"/>
    </row>
    <row r="15" spans="1:20">
      <c r="N15" s="2"/>
      <c r="O15" s="2"/>
      <c r="P15" s="2"/>
    </row>
    <row r="16" spans="1:20">
      <c r="N16" s="2"/>
      <c r="O16" s="2"/>
      <c r="P16" s="2"/>
    </row>
    <row r="17" spans="14:16">
      <c r="N17" s="2"/>
      <c r="O17" s="2"/>
      <c r="P17" s="2"/>
    </row>
    <row r="18" spans="14:16">
      <c r="N18" s="2"/>
      <c r="O18" s="2"/>
      <c r="P18" s="2"/>
    </row>
    <row r="19" spans="14:16">
      <c r="N19" s="2"/>
      <c r="O19" s="2"/>
      <c r="P19" s="2"/>
    </row>
    <row r="20" spans="14:16">
      <c r="N20" s="2"/>
      <c r="O20" s="2"/>
      <c r="P20" s="2"/>
    </row>
    <row r="21" spans="14:16">
      <c r="N21" s="2"/>
      <c r="O21" s="2"/>
      <c r="P21" s="2"/>
    </row>
    <row r="22" spans="14:16">
      <c r="N22" s="2"/>
      <c r="O22" s="2"/>
      <c r="P22" s="2"/>
    </row>
    <row r="23" spans="14:16">
      <c r="N23" s="2"/>
      <c r="O23" s="2"/>
      <c r="P23" s="2"/>
    </row>
    <row r="24" spans="14:16">
      <c r="N24" s="2"/>
      <c r="O24" s="2"/>
      <c r="P24" s="2"/>
    </row>
    <row r="25" spans="14:16">
      <c r="N25" s="2"/>
      <c r="O25" s="2"/>
      <c r="P25" s="2"/>
    </row>
    <row r="26" spans="14:16">
      <c r="N26" s="2"/>
      <c r="O26" s="2"/>
      <c r="P26" s="2"/>
    </row>
    <row r="27" spans="14:16">
      <c r="N27" s="2"/>
      <c r="O27" s="2"/>
      <c r="P27" s="2"/>
    </row>
    <row r="28" spans="14:16">
      <c r="N28" s="2"/>
      <c r="O28" s="2"/>
      <c r="P28" s="2"/>
    </row>
    <row r="29" spans="14:16">
      <c r="N29" s="2"/>
      <c r="O29" s="2"/>
      <c r="P29" s="2"/>
    </row>
    <row r="30" spans="14:16">
      <c r="N30" s="2"/>
      <c r="O30" s="2"/>
      <c r="P30" s="2"/>
    </row>
    <row r="31" spans="14:16">
      <c r="N31" s="2"/>
      <c r="O31" s="2"/>
      <c r="P31" s="2"/>
    </row>
    <row r="32" spans="14:16">
      <c r="N32" s="2"/>
      <c r="O32" s="2"/>
      <c r="P32" s="2"/>
    </row>
    <row r="33" spans="14:16">
      <c r="N33" s="2"/>
      <c r="O33" s="2"/>
      <c r="P33" s="2"/>
    </row>
    <row r="34" spans="14:16">
      <c r="N34" s="2"/>
      <c r="O34" s="2"/>
      <c r="P34" s="2"/>
    </row>
    <row r="35" spans="14:16">
      <c r="N35" s="2"/>
      <c r="O35" s="2"/>
      <c r="P35" s="2"/>
    </row>
    <row r="36" spans="14:16">
      <c r="N36" s="2"/>
      <c r="O36" s="2"/>
      <c r="P36" s="2"/>
    </row>
    <row r="37" spans="14:16">
      <c r="N37" s="2"/>
      <c r="O37" s="2"/>
      <c r="P37" s="2"/>
    </row>
    <row r="38" spans="14:16">
      <c r="N38" s="2"/>
      <c r="O38" s="2"/>
      <c r="P38" s="2"/>
    </row>
    <row r="39" spans="14:16">
      <c r="N39" s="2"/>
      <c r="O39" s="2"/>
      <c r="P39" s="2"/>
    </row>
    <row r="40" spans="14:16">
      <c r="N40" s="2"/>
      <c r="O40" s="2"/>
      <c r="P40" s="2"/>
    </row>
    <row r="41" spans="14:16">
      <c r="N41" s="2"/>
      <c r="O41" s="2"/>
      <c r="P41" s="2"/>
    </row>
    <row r="42" spans="14:16">
      <c r="N42" s="2"/>
      <c r="O42" s="2"/>
      <c r="P42" s="2"/>
    </row>
    <row r="43" spans="14:16">
      <c r="N43" s="2"/>
      <c r="O43" s="2"/>
      <c r="P43" s="2"/>
    </row>
    <row r="44" spans="14:16">
      <c r="N44" s="2"/>
      <c r="O44" s="2"/>
      <c r="P44" s="2"/>
    </row>
    <row r="45" spans="14:16">
      <c r="N45" s="2"/>
      <c r="O45" s="2"/>
      <c r="P45" s="2"/>
    </row>
    <row r="46" spans="14:16">
      <c r="N46" s="2"/>
      <c r="O46" s="2"/>
      <c r="P46" s="2"/>
    </row>
    <row r="47" spans="14:16">
      <c r="N47" s="2"/>
      <c r="O47" s="2"/>
      <c r="P47" s="2"/>
    </row>
    <row r="48" spans="14:16">
      <c r="N48" s="2"/>
      <c r="O48" s="2"/>
      <c r="P48" s="2"/>
    </row>
    <row r="49" spans="14:16">
      <c r="N49" s="2"/>
      <c r="O49" s="2"/>
      <c r="P49" s="2"/>
    </row>
    <row r="50" spans="14:16">
      <c r="N50" s="2"/>
      <c r="O50" s="2"/>
      <c r="P50" s="2"/>
    </row>
    <row r="51" spans="14:16">
      <c r="N51" s="2"/>
      <c r="O51" s="2"/>
      <c r="P51" s="2"/>
    </row>
    <row r="52" spans="14:16">
      <c r="N52" s="2"/>
      <c r="O52" s="2"/>
      <c r="P52" s="2"/>
    </row>
    <row r="53" spans="14:16">
      <c r="N53" s="2"/>
      <c r="O53" s="2"/>
      <c r="P53" s="2"/>
    </row>
    <row r="54" spans="14:16">
      <c r="N54" s="2"/>
      <c r="O54" s="2"/>
      <c r="P54" s="2"/>
    </row>
    <row r="55" spans="14:16">
      <c r="N55" s="2"/>
      <c r="O55" s="2"/>
      <c r="P55" s="2"/>
    </row>
    <row r="56" spans="14:16">
      <c r="N56" s="2"/>
      <c r="O56" s="2"/>
      <c r="P56" s="2"/>
    </row>
    <row r="57" spans="14:16">
      <c r="N57" s="2"/>
      <c r="O57" s="2"/>
      <c r="P57" s="2"/>
    </row>
    <row r="58" spans="14:16">
      <c r="N58" s="2"/>
      <c r="O58" s="2"/>
      <c r="P58" s="2"/>
    </row>
    <row r="59" spans="14:16">
      <c r="N59" s="2"/>
      <c r="O59" s="2"/>
      <c r="P59" s="2"/>
    </row>
    <row r="60" spans="14:16">
      <c r="N60" s="2"/>
      <c r="O60" s="2"/>
      <c r="P60" s="2"/>
    </row>
    <row r="61" spans="14:16">
      <c r="N61" s="2"/>
      <c r="O61" s="2"/>
      <c r="P61" s="2"/>
    </row>
    <row r="62" spans="14:16">
      <c r="N62" s="2"/>
      <c r="O62" s="2"/>
      <c r="P62" s="2"/>
    </row>
    <row r="63" spans="14:16">
      <c r="N63" s="2"/>
      <c r="O63" s="2"/>
      <c r="P63" s="2"/>
    </row>
    <row r="64" spans="14:16">
      <c r="N64" s="2"/>
      <c r="O64" s="2"/>
      <c r="P64" s="2"/>
    </row>
    <row r="65" spans="14:16">
      <c r="N65" s="2"/>
      <c r="O65" s="2"/>
      <c r="P65" s="2"/>
    </row>
    <row r="66" spans="14:16">
      <c r="N66" s="2"/>
      <c r="O66" s="2"/>
      <c r="P66" s="2"/>
    </row>
    <row r="67" spans="14:16">
      <c r="N67" s="2"/>
      <c r="O67" s="2"/>
      <c r="P67" s="2"/>
    </row>
    <row r="68" spans="14:16">
      <c r="N68" s="2"/>
      <c r="O68" s="2"/>
      <c r="P68" s="2"/>
    </row>
    <row r="69" spans="14:16">
      <c r="N69" s="2"/>
      <c r="O69" s="2"/>
      <c r="P69" s="2"/>
    </row>
    <row r="70" spans="14:16">
      <c r="N70" s="2"/>
      <c r="O70" s="2"/>
      <c r="P70" s="2"/>
    </row>
    <row r="71" spans="14:16">
      <c r="N71" s="2"/>
      <c r="O71" s="2"/>
      <c r="P71" s="2"/>
    </row>
    <row r="72" spans="14:16">
      <c r="N72" s="2"/>
      <c r="O72" s="2"/>
      <c r="P72" s="2"/>
    </row>
    <row r="73" spans="14:16">
      <c r="N73" s="2"/>
      <c r="O73" s="2"/>
      <c r="P73" s="2"/>
    </row>
    <row r="74" spans="14:16">
      <c r="N74" s="2"/>
      <c r="O74" s="2"/>
      <c r="P74" s="2"/>
    </row>
    <row r="75" spans="14:16">
      <c r="N75" s="2"/>
      <c r="O75" s="2"/>
      <c r="P75" s="2"/>
    </row>
    <row r="76" spans="14:16">
      <c r="N76" s="2"/>
      <c r="O76" s="2"/>
      <c r="P76" s="2"/>
    </row>
    <row r="77" spans="14:16">
      <c r="N77" s="2"/>
      <c r="O77" s="2"/>
      <c r="P77" s="2"/>
    </row>
    <row r="78" spans="14:16">
      <c r="N78" s="2"/>
      <c r="O78" s="2"/>
      <c r="P78" s="2"/>
    </row>
    <row r="79" spans="14:16">
      <c r="N79" s="2"/>
      <c r="O79" s="2"/>
      <c r="P79" s="2"/>
    </row>
    <row r="80" spans="14:16">
      <c r="N80" s="2"/>
      <c r="O80" s="2"/>
      <c r="P80" s="2"/>
    </row>
    <row r="81" spans="14:16">
      <c r="N81" s="2"/>
      <c r="O81" s="2"/>
      <c r="P81" s="2"/>
    </row>
    <row r="82" spans="14:16">
      <c r="N82" s="2"/>
      <c r="O82" s="2"/>
      <c r="P82" s="2"/>
    </row>
    <row r="83" spans="14:16">
      <c r="N83" s="2"/>
      <c r="O83" s="2"/>
      <c r="P83" s="2"/>
    </row>
    <row r="84" spans="14:16">
      <c r="N84" s="2"/>
      <c r="O84" s="2"/>
      <c r="P84" s="2"/>
    </row>
    <row r="85" spans="14:16">
      <c r="N85" s="2"/>
      <c r="O85" s="2"/>
      <c r="P85" s="2"/>
    </row>
    <row r="86" spans="14:16">
      <c r="N86" s="2"/>
      <c r="O86" s="2"/>
      <c r="P86" s="2"/>
    </row>
    <row r="87" spans="14:16">
      <c r="N87" s="2"/>
      <c r="O87" s="2"/>
      <c r="P87" s="2"/>
    </row>
    <row r="88" spans="14:16">
      <c r="N88" s="2"/>
      <c r="O88" s="2"/>
      <c r="P88" s="2"/>
    </row>
    <row r="89" spans="14:16">
      <c r="N89" s="2"/>
      <c r="O89" s="2"/>
      <c r="P89" s="2"/>
    </row>
    <row r="90" spans="14:16">
      <c r="N90" s="2"/>
      <c r="O90" s="2"/>
      <c r="P90" s="2"/>
    </row>
    <row r="91" spans="14:16">
      <c r="N91" s="2"/>
      <c r="O91" s="2"/>
      <c r="P91" s="2"/>
    </row>
    <row r="92" spans="14:16">
      <c r="N92" s="2"/>
      <c r="O92" s="2"/>
      <c r="P92" s="2"/>
    </row>
    <row r="93" spans="14:16">
      <c r="P93" s="2"/>
    </row>
    <row r="94" spans="14:16">
      <c r="P94" s="2"/>
    </row>
    <row r="95" spans="14:16">
      <c r="P95" s="2"/>
    </row>
    <row r="96" spans="14:16">
      <c r="P96" s="2"/>
    </row>
    <row r="97" spans="16:16">
      <c r="P97" s="2"/>
    </row>
  </sheetData>
  <conditionalFormatting sqref="N2:N6">
    <cfRule type="cellIs" dxfId="4" priority="1" operator="equal">
      <formula>"loss"</formula>
    </cfRule>
  </conditionalFormatting>
  <conditionalFormatting sqref="A2:A6">
    <cfRule type="duplicateValues" dxfId="3" priority="7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C0D8-95DA-4725-9193-5DF3349B4EF5}">
  <dimension ref="A3:J25"/>
  <sheetViews>
    <sheetView workbookViewId="0">
      <selection activeCell="P18" sqref="P18"/>
    </sheetView>
  </sheetViews>
  <sheetFormatPr defaultRowHeight="15"/>
  <cols>
    <col min="1" max="1" width="22.85546875" bestFit="1" customWidth="1"/>
    <col min="2" max="3" width="10.85546875" bestFit="1" customWidth="1"/>
    <col min="4" max="4" width="9.7109375" bestFit="1" customWidth="1"/>
    <col min="5" max="5" width="19.7109375" bestFit="1" customWidth="1"/>
    <col min="6" max="6" width="10.42578125" bestFit="1" customWidth="1"/>
    <col min="7" max="7" width="10.5703125" bestFit="1" customWidth="1"/>
    <col min="8" max="8" width="12.42578125" bestFit="1" customWidth="1"/>
    <col min="9" max="9" width="13.28515625" bestFit="1" customWidth="1"/>
    <col min="10" max="10" width="12" bestFit="1" customWidth="1"/>
    <col min="11" max="12" width="11.42578125" bestFit="1" customWidth="1"/>
  </cols>
  <sheetData>
    <row r="3" spans="1:10">
      <c r="A3" s="7" t="s">
        <v>2</v>
      </c>
      <c r="B3" s="2" t="s">
        <v>47</v>
      </c>
      <c r="C3" s="2" t="s">
        <v>48</v>
      </c>
      <c r="D3" s="2"/>
      <c r="E3" s="7" t="s">
        <v>12</v>
      </c>
      <c r="F3" s="2" t="s">
        <v>49</v>
      </c>
      <c r="G3" s="2" t="s">
        <v>50</v>
      </c>
      <c r="H3" s="2"/>
    </row>
    <row r="4" spans="1:10">
      <c r="A4" s="2" t="s">
        <v>36</v>
      </c>
      <c r="B4" s="4">
        <v>800</v>
      </c>
      <c r="C4" s="4">
        <v>100</v>
      </c>
      <c r="D4" s="2"/>
      <c r="E4" s="2" t="s">
        <v>29</v>
      </c>
      <c r="F4" s="4">
        <v>12800</v>
      </c>
      <c r="G4" s="4">
        <v>2600</v>
      </c>
      <c r="H4" s="2"/>
      <c r="J4" t="s">
        <v>51</v>
      </c>
    </row>
    <row r="5" spans="1:10">
      <c r="A5" s="2" t="s">
        <v>16</v>
      </c>
      <c r="B5" s="4">
        <v>73000</v>
      </c>
      <c r="C5" s="4">
        <v>7500</v>
      </c>
      <c r="D5" s="2"/>
      <c r="E5" s="2" t="s">
        <v>21</v>
      </c>
      <c r="F5" s="4">
        <v>74500</v>
      </c>
      <c r="G5" s="4">
        <v>8100</v>
      </c>
      <c r="H5" s="2"/>
      <c r="J5" s="9"/>
    </row>
    <row r="6" spans="1:10">
      <c r="A6" s="2" t="s">
        <v>31</v>
      </c>
      <c r="B6" s="4">
        <v>1500</v>
      </c>
      <c r="C6" s="4">
        <v>600</v>
      </c>
      <c r="D6" s="2"/>
      <c r="E6" s="2" t="s">
        <v>52</v>
      </c>
      <c r="F6" s="14">
        <v>87300</v>
      </c>
      <c r="G6" s="4">
        <v>10700</v>
      </c>
      <c r="H6" s="2"/>
      <c r="J6" s="11"/>
    </row>
    <row r="7" spans="1:10">
      <c r="A7" s="2" t="s">
        <v>23</v>
      </c>
      <c r="B7" s="4">
        <v>12000</v>
      </c>
      <c r="C7" s="4">
        <v>2500</v>
      </c>
      <c r="D7" s="2"/>
      <c r="E7" s="2"/>
      <c r="F7" s="2"/>
      <c r="G7" s="2"/>
      <c r="H7" s="2"/>
      <c r="J7" s="10"/>
    </row>
    <row r="8" spans="1:10">
      <c r="A8" s="2" t="s">
        <v>52</v>
      </c>
      <c r="B8" s="14">
        <v>87300</v>
      </c>
      <c r="C8" s="4">
        <v>10700</v>
      </c>
      <c r="D8" s="2"/>
      <c r="E8" s="7" t="s">
        <v>7</v>
      </c>
      <c r="F8" s="2" t="s">
        <v>49</v>
      </c>
      <c r="G8" s="2" t="s">
        <v>50</v>
      </c>
      <c r="J8" s="12"/>
    </row>
    <row r="9" spans="1:10">
      <c r="A9" s="2"/>
      <c r="B9" s="2"/>
      <c r="C9" s="2"/>
      <c r="D9" s="2"/>
      <c r="E9" s="2" t="s">
        <v>20</v>
      </c>
      <c r="F9" s="4">
        <v>55000</v>
      </c>
      <c r="G9" s="4">
        <v>8000</v>
      </c>
    </row>
    <row r="10" spans="1:10">
      <c r="A10" s="2"/>
      <c r="B10" s="2"/>
      <c r="C10" s="2"/>
      <c r="D10" s="2"/>
      <c r="E10" s="2" t="s">
        <v>34</v>
      </c>
      <c r="F10" s="4">
        <v>1500</v>
      </c>
      <c r="G10" s="4">
        <v>600</v>
      </c>
    </row>
    <row r="11" spans="1:10">
      <c r="A11" s="7" t="s">
        <v>3</v>
      </c>
      <c r="B11" s="2" t="s">
        <v>53</v>
      </c>
      <c r="C11" s="2"/>
      <c r="D11" s="2"/>
      <c r="E11" s="2" t="s">
        <v>41</v>
      </c>
      <c r="F11" s="4">
        <v>800</v>
      </c>
      <c r="G11" s="4">
        <v>100</v>
      </c>
    </row>
    <row r="12" spans="1:10">
      <c r="A12" s="2" t="s">
        <v>17</v>
      </c>
      <c r="B12" s="4">
        <v>2</v>
      </c>
      <c r="C12" s="2"/>
      <c r="D12" s="2"/>
      <c r="E12" s="2" t="s">
        <v>28</v>
      </c>
      <c r="F12" s="4">
        <v>12000</v>
      </c>
      <c r="G12" s="4">
        <v>2500</v>
      </c>
    </row>
    <row r="13" spans="1:10">
      <c r="A13" s="2" t="s">
        <v>32</v>
      </c>
      <c r="B13" s="4">
        <v>5</v>
      </c>
      <c r="C13" s="2"/>
      <c r="D13" s="2"/>
      <c r="E13" s="2" t="s">
        <v>45</v>
      </c>
      <c r="F13" s="4">
        <v>18000</v>
      </c>
      <c r="G13" s="4">
        <v>-500</v>
      </c>
    </row>
    <row r="14" spans="1:10">
      <c r="A14" s="2" t="s">
        <v>24</v>
      </c>
      <c r="B14" s="4">
        <v>4</v>
      </c>
      <c r="C14" s="2"/>
      <c r="D14" s="2"/>
      <c r="E14" s="2" t="s">
        <v>52</v>
      </c>
      <c r="F14" s="14">
        <v>87300</v>
      </c>
      <c r="G14" s="14">
        <v>10700</v>
      </c>
      <c r="H14" s="2"/>
    </row>
    <row r="15" spans="1:10">
      <c r="A15" s="2" t="s">
        <v>43</v>
      </c>
      <c r="B15" s="4">
        <v>1</v>
      </c>
      <c r="C15" s="2"/>
      <c r="D15" s="2"/>
      <c r="G15" s="2"/>
      <c r="H15" s="2"/>
    </row>
    <row r="16" spans="1:10">
      <c r="A16" s="2" t="s">
        <v>37</v>
      </c>
      <c r="B16" s="4">
        <v>10</v>
      </c>
      <c r="C16" s="2"/>
      <c r="D16" s="2"/>
      <c r="G16" s="2"/>
      <c r="H16" s="2"/>
    </row>
    <row r="17" spans="1:8">
      <c r="A17" s="2" t="s">
        <v>52</v>
      </c>
      <c r="B17" s="4">
        <v>22</v>
      </c>
      <c r="C17" s="2"/>
      <c r="D17" s="2"/>
      <c r="G17" s="2"/>
      <c r="H17" s="2"/>
    </row>
    <row r="18" spans="1:8">
      <c r="A18" s="2"/>
      <c r="B18" s="2"/>
      <c r="C18" s="2"/>
      <c r="D18" s="2"/>
      <c r="E18" s="8" t="s">
        <v>4</v>
      </c>
      <c r="F18" s="2" t="s">
        <v>54</v>
      </c>
      <c r="G18" s="2"/>
      <c r="H18" s="2"/>
    </row>
    <row r="19" spans="1:8">
      <c r="A19" s="2"/>
      <c r="B19" s="2"/>
      <c r="C19" s="2"/>
      <c r="D19" s="2"/>
      <c r="E19" s="1" t="s">
        <v>44</v>
      </c>
      <c r="F19" s="4">
        <v>-500</v>
      </c>
      <c r="G19" s="2"/>
      <c r="H19" s="2"/>
    </row>
    <row r="20" spans="1:8">
      <c r="A20" s="2"/>
      <c r="B20" s="2"/>
      <c r="C20" s="2"/>
      <c r="D20" s="2"/>
      <c r="E20" s="1" t="s">
        <v>33</v>
      </c>
      <c r="F20" s="4">
        <v>600</v>
      </c>
      <c r="G20" s="2"/>
      <c r="H20" s="2"/>
    </row>
    <row r="21" spans="1:8">
      <c r="A21" s="7" t="s">
        <v>6</v>
      </c>
      <c r="B21" s="2" t="s">
        <v>48</v>
      </c>
      <c r="C21" s="2"/>
      <c r="D21" s="2"/>
      <c r="E21" s="1" t="s">
        <v>17</v>
      </c>
      <c r="F21" s="4">
        <v>8000</v>
      </c>
      <c r="G21" s="2"/>
      <c r="H21" s="2"/>
    </row>
    <row r="22" spans="1:8">
      <c r="A22" s="2" t="s">
        <v>27</v>
      </c>
      <c r="B22" s="4">
        <v>2000</v>
      </c>
      <c r="C22" s="2"/>
      <c r="D22" s="2"/>
      <c r="E22" s="1" t="s">
        <v>38</v>
      </c>
      <c r="F22" s="4">
        <v>100</v>
      </c>
      <c r="G22" s="2"/>
      <c r="H22" s="2"/>
    </row>
    <row r="23" spans="1:8">
      <c r="A23" s="2" t="s">
        <v>40</v>
      </c>
      <c r="B23" s="4">
        <v>100</v>
      </c>
      <c r="C23" s="2"/>
      <c r="D23" s="2"/>
      <c r="E23" s="1" t="s">
        <v>25</v>
      </c>
      <c r="F23" s="4">
        <v>2500</v>
      </c>
      <c r="G23" s="2"/>
      <c r="H23" s="2"/>
    </row>
    <row r="24" spans="1:8">
      <c r="A24" s="2" t="s">
        <v>19</v>
      </c>
      <c r="B24" s="4">
        <v>8600</v>
      </c>
      <c r="C24" s="2"/>
      <c r="D24" s="2"/>
      <c r="E24" s="1" t="s">
        <v>52</v>
      </c>
      <c r="F24" s="4">
        <v>10700</v>
      </c>
      <c r="G24" s="2"/>
      <c r="H24" s="2"/>
    </row>
    <row r="25" spans="1:8">
      <c r="A25" s="2" t="s">
        <v>52</v>
      </c>
      <c r="B25" s="4">
        <v>10700</v>
      </c>
      <c r="C25" s="2"/>
      <c r="D25" s="2"/>
      <c r="E25" s="2"/>
      <c r="F25" s="2"/>
      <c r="G25" s="2"/>
      <c r="H25" s="2"/>
    </row>
  </sheetData>
  <conditionalFormatting sqref="E8:G14">
    <cfRule type="cellIs" dxfId="1" priority="2" operator="lessThan">
      <formula>0</formula>
    </cfRule>
  </conditionalFormatting>
  <conditionalFormatting sqref="O18:Q2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A2A1-8488-4E80-B940-7BD736EC088B}">
  <dimension ref="C7"/>
  <sheetViews>
    <sheetView showGridLines="0" workbookViewId="0">
      <selection activeCell="X12" sqref="X12"/>
    </sheetView>
  </sheetViews>
  <sheetFormatPr defaultRowHeight="15"/>
  <cols>
    <col min="1" max="2" width="9.140625" style="12"/>
    <col min="3" max="3" width="9.85546875" style="12" bestFit="1" customWidth="1"/>
    <col min="4" max="16384" width="9.140625" style="12"/>
  </cols>
  <sheetData>
    <row r="7" spans="3:3" ht="23.25">
      <c r="C7" s="1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VISHAL PAL</cp:lastModifiedBy>
  <cp:revision/>
  <dcterms:created xsi:type="dcterms:W3CDTF">2026-02-01T02:22:15Z</dcterms:created>
  <dcterms:modified xsi:type="dcterms:W3CDTF">2026-02-01T16:14:39Z</dcterms:modified>
  <cp:category/>
  <cp:contentStatus/>
</cp:coreProperties>
</file>